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/>
  <workbookPr/>
  <mc:AlternateContent xmlns:mc="http://schemas.openxmlformats.org/markup-compatibility/2006">
    <mc:Choice Requires="x15">
      <x15ac:absPath xmlns:x15ac="http://schemas.microsoft.com/office/spreadsheetml/2010/11/ac" url="/Users/macowner/Downloads/"/>
    </mc:Choice>
  </mc:AlternateContent>
  <bookViews>
    <workbookView xWindow="2120" yWindow="1040" windowWidth="20880" windowHeight="13900"/>
  </bookViews>
  <sheets>
    <sheet name="VAR" sheetId="2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6" i="2" l="1"/>
  <c r="C17" i="2"/>
  <c r="D18" i="2"/>
  <c r="C20" i="2"/>
  <c r="D20" i="2"/>
  <c r="B21" i="2"/>
  <c r="D21" i="2"/>
  <c r="B22" i="2"/>
  <c r="C22" i="2"/>
  <c r="B24" i="2" a="1"/>
  <c r="B24" i="2"/>
  <c r="C24" i="2"/>
  <c r="D24" i="2"/>
  <c r="B25" i="2"/>
  <c r="C25" i="2"/>
  <c r="D25" i="2"/>
  <c r="B26" i="2"/>
  <c r="C26" i="2"/>
  <c r="D26" i="2"/>
  <c r="C13" i="2"/>
  <c r="B28" i="2" a="1"/>
  <c r="B28" i="2"/>
  <c r="C28" i="2"/>
  <c r="D28" i="2"/>
  <c r="B29" i="2"/>
  <c r="C29" i="2"/>
  <c r="D29" i="2"/>
  <c r="B30" i="2"/>
  <c r="C30" i="2"/>
  <c r="D30" i="2"/>
  <c r="B32" i="2"/>
  <c r="C32" i="2"/>
  <c r="D32" i="2"/>
  <c r="B34" i="2" a="1"/>
  <c r="B34" i="2"/>
  <c r="C34" i="2"/>
  <c r="D34" i="2"/>
  <c r="B36" i="2"/>
  <c r="B37" i="2"/>
  <c r="B38" i="2"/>
  <c r="B40" i="2" a="1"/>
  <c r="B40" i="2"/>
  <c r="B42" i="2"/>
  <c r="B44" i="2"/>
  <c r="B45" i="2"/>
  <c r="C45" i="2"/>
</calcChain>
</file>

<file path=xl/sharedStrings.xml><?xml version="1.0" encoding="utf-8"?>
<sst xmlns="http://schemas.openxmlformats.org/spreadsheetml/2006/main" count="21" uniqueCount="21">
  <si>
    <t>Confidence level</t>
  </si>
  <si>
    <t>Standard Deviation</t>
  </si>
  <si>
    <t>VC</t>
  </si>
  <si>
    <t>VCV</t>
  </si>
  <si>
    <t>WVCV</t>
  </si>
  <si>
    <t>Standard deviation</t>
  </si>
  <si>
    <t>Weighting</t>
  </si>
  <si>
    <t>Correlations</t>
  </si>
  <si>
    <t>1,2</t>
  </si>
  <si>
    <t>2,3</t>
  </si>
  <si>
    <t>1,3</t>
  </si>
  <si>
    <t>Portfolio Value</t>
  </si>
  <si>
    <t>V</t>
  </si>
  <si>
    <t>C</t>
  </si>
  <si>
    <t>W</t>
  </si>
  <si>
    <t>W'</t>
  </si>
  <si>
    <t>WVCVW'</t>
  </si>
  <si>
    <t>VAR</t>
  </si>
  <si>
    <t>S&amp;P</t>
  </si>
  <si>
    <t>Bond</t>
  </si>
  <si>
    <t>Hedge Fund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</si>
</sst>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color theme="0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0" fontId="0" fillId="0" borderId="0" xfId="0" applyFill="1"/>
    <xf numFmtId="0" fontId="0" fillId="0" borderId="0" xfId="0" applyNumberFormat="1" applyFill="1"/>
    <xf numFmtId="0" fontId="0" fillId="0" borderId="0" xfId="1" applyNumberFormat="1" applyFont="1" applyFill="1"/>
    <xf numFmtId="0" fontId="0" fillId="0" borderId="0" xfId="0" applyNumberFormat="1"/>
    <xf numFmtId="0" fontId="3" fillId="0" borderId="0" xfId="0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8"/>
  <sheetViews>
    <sheetView tabSelected="1" workbookViewId="0">
      <selection activeCell="B3" sqref="B3:C78"/>
    </sheetView>
  </sheetViews>
  <sheetFormatPr baseColWidth="10" defaultColWidth="8.83203125" defaultRowHeight="13" x14ac:dyDescent="0.15"/>
  <cols>
    <col min="1" max="1" width="13" customWidth="1"/>
    <col min="2" max="2" width="14.33203125" customWidth="1"/>
    <col min="3" max="3" width="16.1640625" customWidth="1"/>
    <col min="5" max="5" width="16.6640625" customWidth="1"/>
    <col min="6" max="6" width="14.1640625" customWidth="1"/>
  </cols>
  <sheetData>
    <row r="1" spans="1:4" x14ac:dyDescent="0.15">
      <c r="A1" s="1"/>
    </row>
    <row r="2" spans="1:4" x14ac:dyDescent="0.15">
      <c r="B2" t="s">
        <v>6</v>
      </c>
      <c r="C2" t="s">
        <v>5</v>
      </c>
    </row>
    <row r="3" spans="1:4" x14ac:dyDescent="0.15">
      <c r="A3" t="s">
        <v>18</v>
      </c>
      <c r="B3" s="5">
        <v>0.5</v>
      </c>
      <c r="C3" s="5">
        <v>0.25</v>
      </c>
    </row>
    <row r="4" spans="1:4" x14ac:dyDescent="0.15">
      <c r="A4" t="s">
        <v>19</v>
      </c>
      <c r="B4" s="5">
        <v>0.3</v>
      </c>
      <c r="C4" s="5">
        <v>0.13</v>
      </c>
    </row>
    <row r="5" spans="1:4" x14ac:dyDescent="0.15">
      <c r="A5" t="s">
        <v>20</v>
      </c>
      <c r="B5" s="5">
        <v>0.2</v>
      </c>
      <c r="C5" s="5">
        <v>0.19</v>
      </c>
    </row>
    <row r="6" spans="1:4" x14ac:dyDescent="0.15">
      <c r="B6" s="5"/>
      <c r="C6" s="5"/>
    </row>
    <row r="7" spans="1:4" x14ac:dyDescent="0.15">
      <c r="A7" t="s">
        <v>7</v>
      </c>
      <c r="B7" s="5"/>
      <c r="C7" s="5"/>
    </row>
    <row r="8" spans="1:4" x14ac:dyDescent="0.15">
      <c r="A8" t="s">
        <v>8</v>
      </c>
      <c r="B8" s="5">
        <v>0.2</v>
      </c>
      <c r="C8" s="5"/>
    </row>
    <row r="9" spans="1:4" x14ac:dyDescent="0.15">
      <c r="A9" t="s">
        <v>10</v>
      </c>
      <c r="B9" s="5">
        <v>6</v>
      </c>
      <c r="C9" s="5"/>
    </row>
    <row r="10" spans="1:4" x14ac:dyDescent="0.15">
      <c r="A10" t="s">
        <v>9</v>
      </c>
      <c r="B10" s="5">
        <v>0.35</v>
      </c>
      <c r="C10" s="5"/>
    </row>
    <row r="11" spans="1:4" x14ac:dyDescent="0.15">
      <c r="B11" s="5"/>
      <c r="C11" s="5"/>
    </row>
    <row r="12" spans="1:4" x14ac:dyDescent="0.15">
      <c r="A12" t="s">
        <v>11</v>
      </c>
      <c r="B12" s="5">
        <v>100</v>
      </c>
      <c r="C12" s="5"/>
    </row>
    <row r="13" spans="1:4" x14ac:dyDescent="0.15">
      <c r="A13" t="s">
        <v>0</v>
      </c>
      <c r="B13" s="5">
        <v>0.95</v>
      </c>
      <c r="C13" s="6">
        <f>NORMSINV(B13)</f>
        <v>1.6448536269514715</v>
      </c>
    </row>
    <row r="14" spans="1:4" x14ac:dyDescent="0.15">
      <c r="B14" s="5"/>
      <c r="C14" s="5"/>
    </row>
    <row r="15" spans="1:4" x14ac:dyDescent="0.15">
      <c r="B15" s="3"/>
      <c r="C15" s="3"/>
      <c r="D15" s="2"/>
    </row>
    <row r="16" spans="1:4" x14ac:dyDescent="0.15">
      <c r="A16" t="s">
        <v>12</v>
      </c>
      <c r="B16" s="3">
        <f>C3</f>
        <v>0.25</v>
      </c>
      <c r="C16" s="3">
        <v>0</v>
      </c>
      <c r="D16" s="3">
        <v>0</v>
      </c>
    </row>
    <row r="17" spans="1:4" x14ac:dyDescent="0.15">
      <c r="B17" s="3">
        <v>0</v>
      </c>
      <c r="C17" s="3">
        <f>C4</f>
        <v>0.13</v>
      </c>
      <c r="D17" s="3">
        <v>0</v>
      </c>
    </row>
    <row r="18" spans="1:4" x14ac:dyDescent="0.15">
      <c r="B18" s="3">
        <v>0</v>
      </c>
      <c r="C18" s="3">
        <v>0</v>
      </c>
      <c r="D18" s="3">
        <f>C5</f>
        <v>0.19</v>
      </c>
    </row>
    <row r="19" spans="1:4" x14ac:dyDescent="0.15">
      <c r="B19" s="3"/>
      <c r="C19" s="3"/>
      <c r="D19" s="3"/>
    </row>
    <row r="20" spans="1:4" x14ac:dyDescent="0.15">
      <c r="A20" t="s">
        <v>13</v>
      </c>
      <c r="B20" s="3">
        <v>1</v>
      </c>
      <c r="C20" s="3">
        <f>B8</f>
        <v>0.2</v>
      </c>
      <c r="D20" s="3">
        <f>B9</f>
        <v>6</v>
      </c>
    </row>
    <row r="21" spans="1:4" x14ac:dyDescent="0.15">
      <c r="B21" s="3">
        <f>C20</f>
        <v>0.2</v>
      </c>
      <c r="C21" s="3">
        <v>1</v>
      </c>
      <c r="D21" s="3">
        <f>B10</f>
        <v>0.35</v>
      </c>
    </row>
    <row r="22" spans="1:4" x14ac:dyDescent="0.15">
      <c r="B22" s="3">
        <f>D20</f>
        <v>6</v>
      </c>
      <c r="C22" s="3">
        <f>D21</f>
        <v>0.35</v>
      </c>
      <c r="D22" s="3">
        <v>1</v>
      </c>
    </row>
    <row r="23" spans="1:4" x14ac:dyDescent="0.15">
      <c r="B23" s="3"/>
      <c r="C23" s="3"/>
      <c r="D23" s="3"/>
    </row>
    <row r="24" spans="1:4" x14ac:dyDescent="0.15">
      <c r="A24" t="s">
        <v>2</v>
      </c>
      <c r="B24" s="3">
        <f t="array" ref="B24:D26">MMULT(B16:D18,B20:D22)</f>
        <v>0.25</v>
      </c>
      <c r="C24" s="3">
        <v>0.05</v>
      </c>
      <c r="D24" s="3">
        <v>1.5</v>
      </c>
    </row>
    <row r="25" spans="1:4" x14ac:dyDescent="0.15">
      <c r="B25" s="3">
        <v>2.6000000000000002E-2</v>
      </c>
      <c r="C25" s="3">
        <v>0.13</v>
      </c>
      <c r="D25" s="3">
        <v>4.5499999999999999E-2</v>
      </c>
    </row>
    <row r="26" spans="1:4" x14ac:dyDescent="0.15">
      <c r="B26" s="3">
        <v>1.1400000000000001</v>
      </c>
      <c r="C26" s="3">
        <v>6.649999999999999E-2</v>
      </c>
      <c r="D26" s="3">
        <v>0.19</v>
      </c>
    </row>
    <row r="27" spans="1:4" x14ac:dyDescent="0.15">
      <c r="B27" s="3"/>
      <c r="C27" s="3"/>
      <c r="D27" s="3"/>
    </row>
    <row r="28" spans="1:4" x14ac:dyDescent="0.15">
      <c r="A28" t="s">
        <v>3</v>
      </c>
      <c r="B28" s="3">
        <f t="array" ref="B28:D30">MMULT(B24:D26,B16:D18)</f>
        <v>6.25E-2</v>
      </c>
      <c r="C28" s="3">
        <v>6.5000000000000006E-3</v>
      </c>
      <c r="D28" s="3">
        <v>0.28500000000000003</v>
      </c>
    </row>
    <row r="29" spans="1:4" x14ac:dyDescent="0.15">
      <c r="B29" s="3">
        <v>6.5000000000000006E-3</v>
      </c>
      <c r="C29" s="3">
        <v>1.6900000000000002E-2</v>
      </c>
      <c r="D29" s="3">
        <v>8.6449999999999999E-3</v>
      </c>
    </row>
    <row r="30" spans="1:4" x14ac:dyDescent="0.15">
      <c r="B30" s="3">
        <v>0.28500000000000003</v>
      </c>
      <c r="C30" s="3">
        <v>8.6449999999999982E-3</v>
      </c>
      <c r="D30" s="3">
        <v>3.61E-2</v>
      </c>
    </row>
    <row r="31" spans="1:4" x14ac:dyDescent="0.15">
      <c r="B31" s="3"/>
      <c r="C31" s="3"/>
      <c r="D31" s="3"/>
    </row>
    <row r="32" spans="1:4" x14ac:dyDescent="0.15">
      <c r="A32" t="s">
        <v>14</v>
      </c>
      <c r="B32" s="3">
        <f>B3</f>
        <v>0.5</v>
      </c>
      <c r="C32" s="3">
        <f>B4</f>
        <v>0.3</v>
      </c>
      <c r="D32" s="3">
        <f>B5</f>
        <v>0.2</v>
      </c>
    </row>
    <row r="33" spans="1:4" x14ac:dyDescent="0.15">
      <c r="B33" s="3"/>
      <c r="C33" s="3"/>
      <c r="D33" s="3"/>
    </row>
    <row r="34" spans="1:4" x14ac:dyDescent="0.15">
      <c r="A34" t="s">
        <v>4</v>
      </c>
      <c r="B34" s="3">
        <f t="array" ref="B34:D34">MMULT(B32:D32,B28:D30)</f>
        <v>9.0200000000000002E-2</v>
      </c>
      <c r="C34" s="3">
        <v>1.0049000000000001E-2</v>
      </c>
      <c r="D34" s="3">
        <v>0.15231350000000002</v>
      </c>
    </row>
    <row r="35" spans="1:4" x14ac:dyDescent="0.15">
      <c r="B35" s="3"/>
      <c r="C35" s="3"/>
      <c r="D35" s="3"/>
    </row>
    <row r="36" spans="1:4" x14ac:dyDescent="0.15">
      <c r="A36" t="s">
        <v>15</v>
      </c>
      <c r="B36" s="3">
        <f>B32</f>
        <v>0.5</v>
      </c>
      <c r="C36" s="3"/>
      <c r="D36" s="3"/>
    </row>
    <row r="37" spans="1:4" x14ac:dyDescent="0.15">
      <c r="B37" s="3">
        <f>C32</f>
        <v>0.3</v>
      </c>
      <c r="C37" s="3"/>
      <c r="D37" s="3"/>
    </row>
    <row r="38" spans="1:4" x14ac:dyDescent="0.15">
      <c r="B38" s="3">
        <f>D32</f>
        <v>0.2</v>
      </c>
      <c r="C38" s="3"/>
      <c r="D38" s="3"/>
    </row>
    <row r="39" spans="1:4" x14ac:dyDescent="0.15">
      <c r="B39" s="3"/>
      <c r="C39" s="3"/>
      <c r="D39" s="3"/>
    </row>
    <row r="40" spans="1:4" x14ac:dyDescent="0.15">
      <c r="A40" t="s">
        <v>16</v>
      </c>
      <c r="B40" s="3">
        <f t="array" ref="B40">MMULT(B34:D34,B36:B38)</f>
        <v>7.8577400000000006E-2</v>
      </c>
      <c r="C40" s="3"/>
      <c r="D40" s="3"/>
    </row>
    <row r="41" spans="1:4" x14ac:dyDescent="0.15">
      <c r="B41" s="3"/>
      <c r="C41" s="3"/>
      <c r="D41" s="3"/>
    </row>
    <row r="42" spans="1:4" x14ac:dyDescent="0.15">
      <c r="A42" t="s">
        <v>1</v>
      </c>
      <c r="B42" s="4">
        <f>SQRT(B40)</f>
        <v>0.28031660671462189</v>
      </c>
      <c r="C42" s="3"/>
      <c r="D42" s="3"/>
    </row>
    <row r="43" spans="1:4" x14ac:dyDescent="0.15">
      <c r="B43" s="3"/>
      <c r="C43" s="3"/>
      <c r="D43" s="3"/>
    </row>
    <row r="44" spans="1:4" x14ac:dyDescent="0.15">
      <c r="A44" t="s">
        <v>17</v>
      </c>
      <c r="B44" s="3">
        <f>B12*B42*C13</f>
        <v>46.107978724927499</v>
      </c>
      <c r="C44" s="3"/>
      <c r="D44" s="3"/>
    </row>
    <row r="45" spans="1:4" x14ac:dyDescent="0.15">
      <c r="B45" s="4">
        <f>B44/B12</f>
        <v>0.46107978724927501</v>
      </c>
      <c r="C45" s="3">
        <f>B45/250</f>
        <v>1.8443191489971001E-3</v>
      </c>
      <c r="D45" s="3"/>
    </row>
    <row r="46" spans="1:4" x14ac:dyDescent="0.15">
      <c r="B46" s="5"/>
      <c r="C46" s="5"/>
    </row>
    <row r="47" spans="1:4" x14ac:dyDescent="0.15">
      <c r="B47" s="5"/>
      <c r="C47" s="5"/>
    </row>
    <row r="48" spans="1:4" x14ac:dyDescent="0.15">
      <c r="B48" s="5"/>
      <c r="C48" s="5"/>
    </row>
    <row r="49" spans="2:3" x14ac:dyDescent="0.15">
      <c r="B49" s="5"/>
      <c r="C49" s="5"/>
    </row>
    <row r="50" spans="2:3" x14ac:dyDescent="0.15">
      <c r="B50" s="5"/>
      <c r="C50" s="5"/>
    </row>
    <row r="51" spans="2:3" x14ac:dyDescent="0.15">
      <c r="B51" s="5"/>
      <c r="C51" s="5"/>
    </row>
    <row r="52" spans="2:3" x14ac:dyDescent="0.15">
      <c r="B52" s="5"/>
      <c r="C52" s="5"/>
    </row>
    <row r="53" spans="2:3" x14ac:dyDescent="0.15">
      <c r="B53" s="5"/>
      <c r="C53" s="5"/>
    </row>
    <row r="54" spans="2:3" x14ac:dyDescent="0.15">
      <c r="B54" s="5"/>
      <c r="C54" s="5"/>
    </row>
    <row r="55" spans="2:3" x14ac:dyDescent="0.15">
      <c r="B55" s="5"/>
      <c r="C55" s="5"/>
    </row>
    <row r="56" spans="2:3" x14ac:dyDescent="0.15">
      <c r="B56" s="5"/>
      <c r="C56" s="5"/>
    </row>
    <row r="57" spans="2:3" x14ac:dyDescent="0.15">
      <c r="B57" s="5"/>
      <c r="C57" s="5"/>
    </row>
    <row r="58" spans="2:3" x14ac:dyDescent="0.15">
      <c r="B58" s="5"/>
      <c r="C58" s="5"/>
    </row>
    <row r="59" spans="2:3" x14ac:dyDescent="0.15">
      <c r="B59" s="5"/>
      <c r="C59" s="5"/>
    </row>
    <row r="60" spans="2:3" x14ac:dyDescent="0.15">
      <c r="B60" s="5"/>
      <c r="C60" s="5"/>
    </row>
    <row r="61" spans="2:3" x14ac:dyDescent="0.15">
      <c r="B61" s="5"/>
      <c r="C61" s="5"/>
    </row>
    <row r="62" spans="2:3" x14ac:dyDescent="0.15">
      <c r="B62" s="5"/>
      <c r="C62" s="5"/>
    </row>
    <row r="63" spans="2:3" x14ac:dyDescent="0.15">
      <c r="B63" s="5"/>
      <c r="C63" s="5"/>
    </row>
    <row r="64" spans="2:3" x14ac:dyDescent="0.15">
      <c r="B64" s="5"/>
      <c r="C64" s="5"/>
    </row>
    <row r="65" spans="2:3" x14ac:dyDescent="0.15">
      <c r="B65" s="5"/>
      <c r="C65" s="5"/>
    </row>
    <row r="66" spans="2:3" x14ac:dyDescent="0.15">
      <c r="B66" s="5"/>
      <c r="C66" s="5"/>
    </row>
    <row r="67" spans="2:3" x14ac:dyDescent="0.15">
      <c r="B67" s="5"/>
      <c r="C67" s="5"/>
    </row>
    <row r="68" spans="2:3" x14ac:dyDescent="0.15">
      <c r="B68" s="5"/>
      <c r="C68" s="5"/>
    </row>
    <row r="69" spans="2:3" x14ac:dyDescent="0.15">
      <c r="B69" s="5"/>
      <c r="C69" s="5"/>
    </row>
    <row r="70" spans="2:3" x14ac:dyDescent="0.15">
      <c r="B70" s="5"/>
      <c r="C70" s="5"/>
    </row>
    <row r="71" spans="2:3" x14ac:dyDescent="0.15">
      <c r="B71" s="5"/>
      <c r="C71" s="5"/>
    </row>
    <row r="72" spans="2:3" x14ac:dyDescent="0.15">
      <c r="B72" s="5"/>
      <c r="C72" s="5"/>
    </row>
    <row r="73" spans="2:3" x14ac:dyDescent="0.15">
      <c r="B73" s="5"/>
      <c r="C73" s="5"/>
    </row>
    <row r="74" spans="2:3" x14ac:dyDescent="0.15">
      <c r="B74" s="5"/>
      <c r="C74" s="5"/>
    </row>
    <row r="75" spans="2:3" x14ac:dyDescent="0.15">
      <c r="B75" s="5"/>
      <c r="C75" s="5"/>
    </row>
    <row r="76" spans="2:3" x14ac:dyDescent="0.15">
      <c r="B76" s="5"/>
      <c r="C76" s="5"/>
    </row>
    <row r="77" spans="2:3" x14ac:dyDescent="0.15">
      <c r="B77" s="5"/>
      <c r="C77" s="5"/>
    </row>
    <row r="78" spans="2:3" x14ac:dyDescent="0.15">
      <c r="B78" s="5"/>
      <c r="C78" s="5"/>
    </row>
  </sheetData>
  <phoneticPr fontId="0" type="noConversion"/>
  <pageMargins left="0.7" right="0.7" top="0.75" bottom="0.75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VAR</vt:lpstr>
    </vt:vector>
  </TitlesOfParts>
  <Company>kesdee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manishs</dc:creator>
  <cp:lastModifiedBy>Microsoft Office User</cp:lastModifiedBy>
  <dcterms:created xsi:type="dcterms:W3CDTF">2010-03-27T09:30:04Z</dcterms:created>
  <dcterms:modified xsi:type="dcterms:W3CDTF">2016-05-09T23:48:13Z</dcterms:modified>
</cp:coreProperties>
</file>